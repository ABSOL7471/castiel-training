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est\Downloads\castiel-training\eval\"/>
    </mc:Choice>
  </mc:AlternateContent>
  <xr:revisionPtr revIDLastSave="0" documentId="13_ncr:1_{F1152E3C-1DF8-48AB-B7A1-8BA6F48EA760}" xr6:coauthVersionLast="47" xr6:coauthVersionMax="47" xr10:uidLastSave="{00000000-0000-0000-0000-000000000000}"/>
  <bookViews>
    <workbookView xWindow="-120" yWindow="-120" windowWidth="24240" windowHeight="17520" xr2:uid="{00000000-000D-0000-FFFF-FFFF00000000}"/>
  </bookViews>
  <sheets>
    <sheet name="Summary" sheetId="1" r:id="rId1"/>
    <sheet name="Per-task results" sheetId="2" r:id="rId2"/>
    <sheet name="Methodolog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2" l="1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15" i="1"/>
  <c r="H15" i="1"/>
  <c r="G15" i="1"/>
  <c r="F15" i="1"/>
  <c r="E15" i="1"/>
  <c r="D15" i="1"/>
  <c r="I14" i="1"/>
  <c r="H14" i="1"/>
  <c r="G14" i="1"/>
  <c r="F14" i="1"/>
  <c r="E14" i="1"/>
  <c r="D14" i="1"/>
  <c r="I13" i="1"/>
  <c r="H13" i="1"/>
  <c r="G13" i="1"/>
  <c r="F13" i="1"/>
  <c r="E13" i="1"/>
  <c r="D13" i="1"/>
</calcChain>
</file>

<file path=xl/sharedStrings.xml><?xml version="1.0" encoding="utf-8"?>
<sst xmlns="http://schemas.openxmlformats.org/spreadsheetml/2006/main" count="178" uniqueCount="67">
  <si>
    <t>Castiel — fine-tune evaluation results</t>
  </si>
  <si>
    <t>QLoRA fine-tune of Qwen2.5-Coder-7B-Instruct on curated agent coding-session transcripts</t>
  </si>
  <si>
    <t>Eval date</t>
  </si>
  <si>
    <t>2026-08-15</t>
  </si>
  <si>
    <t>Held-out tasks</t>
  </si>
  <si>
    <t>35 (validation split, never trained on)</t>
  </si>
  <si>
    <t>Decoding</t>
  </si>
  <si>
    <t>temperature 0, fixed seed, identical prompts for every model</t>
  </si>
  <si>
    <t>Hardware</t>
  </si>
  <si>
    <t>single RTX 3060 12 GB (training and inference)</t>
  </si>
  <si>
    <t>Task type</t>
  </si>
  <si>
    <t>fill-in-the-missing-section over a private codebase; instruction: “Output only the missing code”</t>
  </si>
  <si>
    <t>Headline results</t>
  </si>
  <si>
    <t>model</t>
  </si>
  <si>
    <t>variant</t>
  </si>
  <si>
    <t>mean similarity</t>
  </si>
  <si>
    <t>exact match</t>
  </si>
  <si>
    <t>clean output</t>
  </si>
  <si>
    <t>avg latency (s)</t>
  </si>
  <si>
    <t>chars/sec</t>
  </si>
  <si>
    <t>n</t>
  </si>
  <si>
    <t>qwen2.5-coder:7b</t>
  </si>
  <si>
    <t>base</t>
  </si>
  <si>
    <t>castiel-tuned</t>
  </si>
  <si>
    <t>base + runtime LoRA</t>
  </si>
  <si>
    <t>castiel-merged</t>
  </si>
  <si>
    <t>LoRA merged, fresh q4_K_M</t>
  </si>
  <si>
    <t>Findings</t>
  </si>
  <si>
    <t>Gains are behavioral, not memorization: instruction adherence rose 37% → 100% and similarity to house style +73% relative; exact match is 0% for ALL models — a nonzero score would indicate data leakage, not skill.</t>
  </si>
  <si>
    <t>The runtime LoRA adapter costs ~20% per token vs the plain base. Context allocation (num_ctx 16384 vs 8192) was tested separately: byte-identical outputs at identical speed.</t>
  </si>
  <si>
    <t>Merging the adapter (PEFT fp16 → GGUF → q4_K_M) recovers nearly all speed but re-quantization costs fidelity: the merged model keeps ~72% of the fine-tune's style improvement.</t>
  </si>
  <si>
    <t>Decision</t>
  </si>
  <si>
    <t>Production stays on the runtime-adapter build: full style fidelity beats ~2.4 s per completion for an agent doing real coding work. The merged build is kept for A/B testing.</t>
  </si>
  <si>
    <t>Data notes</t>
  </si>
  <si>
    <t>This workbook contains per-task metrics only. Raw completions and reference code are excluded deliberately — they contain private codebase content. Metric definitions and reproduction steps: see the Methodology sheet.</t>
  </si>
  <si>
    <t>task_id</t>
  </si>
  <si>
    <t>similarity</t>
  </si>
  <si>
    <t>exact_match</t>
  </si>
  <si>
    <t>clean_output</t>
  </si>
  <si>
    <t>latency_s</t>
  </si>
  <si>
    <t>out_chars</t>
  </si>
  <si>
    <t>ref_chars</t>
  </si>
  <si>
    <t>chars_per_sec</t>
  </si>
  <si>
    <t>Methodology</t>
  </si>
  <si>
    <t>Setup</t>
  </si>
  <si>
    <t>Base model</t>
  </si>
  <si>
    <t>Qwen/Qwen2.5-Coder-7B-Instruct, q4_K_M via Ollama</t>
  </si>
  <si>
    <t>Fine-tune</t>
  </si>
  <si>
    <t>QLoRA rank 8, alpha 16, max seq len 1024, ~2 epochs, completion-only loss; trained on a single RTX 3060 12 GB</t>
  </si>
  <si>
    <t>Training data</t>
  </si>
  <si>
    <t>instruction/input/output triples generated from real agent coding sessions over the author's codebase; validation split held out before training</t>
  </si>
  <si>
    <t>Eval protocol</t>
  </si>
  <si>
    <t>Tasks</t>
  </si>
  <si>
    <t>35 eligible rows of the held-out validation split (prompt ≤ 12,000 chars, non-empty reference)</t>
  </si>
  <si>
    <t>Prompting</t>
  </si>
  <si>
    <t>identical to training: fixed system prompt + instruction + input, via Ollama /api/chat</t>
  </si>
  <si>
    <t>temperature 0, seed 42, num_predict 700; models run sequentially (all tasks per model) to avoid GPU model-swap thrash</t>
  </si>
  <si>
    <t>Metrics</t>
  </si>
  <si>
    <t>difflib.SequenceMatcher ratio on whitespace-normalized text, fenced blocks unwrapped before scoring (the fence is penalized separately, the code judged on its own)</t>
  </si>
  <si>
    <t>1 if normalized output equals normalized reference</t>
  </si>
  <si>
    <t>1 if no markdown fences and no prose preamble — every task instructs “Output only the missing code”, so this measures instruction adherence</t>
  </si>
  <si>
    <t>wall-clock seconds per completion; chars_per_sec = out_chars / latency_s</t>
  </si>
  <si>
    <t>Reproduce</t>
  </si>
  <si>
    <t>Harness</t>
  </si>
  <si>
    <t>eval/eval_harness.py — pure Python stdlib; python eval_harness.py --n 35 [--models ...]</t>
  </si>
  <si>
    <t>Caveats</t>
  </si>
  <si>
    <t>n=35 is small; similarity is a harsh proxy (nobody reproduces bespoke code verbatim); latency measured on consumer hardware with models resident in VRAM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</si>
</sst>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1F3B57"/>
      <name val="Arial"/>
    </font>
    <font>
      <sz val="9"/>
      <color rgb="FF595959"/>
      <name val="Arial"/>
    </font>
    <font>
      <b/>
      <sz val="10"/>
      <name val="Arial"/>
    </font>
    <font>
      <b/>
      <sz val="11"/>
      <color rgb="FF1F3B57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B5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/>
    </xf>
    <xf numFmtId="0" fontId="5" fillId="0" borderId="1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vertical="top" wrapText="1"/>
    </xf>
    <xf numFmtId="0" fontId="1" fillId="2" borderId="0" xfId="0" applyFont="1" applyFill="1"/>
    <xf numFmtId="164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4"/>
  <sheetViews>
    <sheetView showGridLines="0" tabSelected="1" workbookViewId="0"/>
  </sheetViews>
  <sheetFormatPr defaultRowHeight="15" x14ac:dyDescent="0.25"/>
  <cols>
    <col min="1" max="1" width="2" customWidth="1"/>
    <col min="2" max="2" width="20" customWidth="1"/>
    <col min="3" max="3" width="30" customWidth="1"/>
    <col min="4" max="9" width="14" customWidth="1"/>
  </cols>
  <sheetData>
    <row r="2" spans="2:9" ht="18" x14ac:dyDescent="0.25">
      <c r="B2" s="1" t="s">
        <v>0</v>
      </c>
    </row>
    <row r="3" spans="2:9" x14ac:dyDescent="0.25">
      <c r="B3" s="2" t="s">
        <v>1</v>
      </c>
    </row>
    <row r="5" spans="2:9" x14ac:dyDescent="0.25">
      <c r="B5" s="3" t="s">
        <v>2</v>
      </c>
      <c r="C5" s="4" t="s">
        <v>3</v>
      </c>
    </row>
    <row r="6" spans="2:9" x14ac:dyDescent="0.25">
      <c r="B6" s="3" t="s">
        <v>4</v>
      </c>
      <c r="C6" s="4" t="s">
        <v>5</v>
      </c>
    </row>
    <row r="7" spans="2:9" x14ac:dyDescent="0.25">
      <c r="B7" s="3" t="s">
        <v>6</v>
      </c>
      <c r="C7" s="4" t="s">
        <v>7</v>
      </c>
    </row>
    <row r="8" spans="2:9" x14ac:dyDescent="0.25">
      <c r="B8" s="3" t="s">
        <v>8</v>
      </c>
      <c r="C8" s="4" t="s">
        <v>9</v>
      </c>
    </row>
    <row r="9" spans="2:9" x14ac:dyDescent="0.25">
      <c r="B9" s="3" t="s">
        <v>10</v>
      </c>
      <c r="C9" s="4" t="s">
        <v>11</v>
      </c>
    </row>
    <row r="11" spans="2:9" x14ac:dyDescent="0.25">
      <c r="B11" s="5" t="s">
        <v>12</v>
      </c>
    </row>
    <row r="12" spans="2:9" x14ac:dyDescent="0.25">
      <c r="B12" s="6" t="s">
        <v>13</v>
      </c>
      <c r="C12" s="6" t="s">
        <v>14</v>
      </c>
      <c r="D12" s="6" t="s">
        <v>15</v>
      </c>
      <c r="E12" s="6" t="s">
        <v>16</v>
      </c>
      <c r="F12" s="6" t="s">
        <v>17</v>
      </c>
      <c r="G12" s="6" t="s">
        <v>18</v>
      </c>
      <c r="H12" s="6" t="s">
        <v>19</v>
      </c>
      <c r="I12" s="6" t="s">
        <v>20</v>
      </c>
    </row>
    <row r="13" spans="2:9" x14ac:dyDescent="0.25">
      <c r="B13" s="7" t="s">
        <v>21</v>
      </c>
      <c r="C13" s="8" t="s">
        <v>22</v>
      </c>
      <c r="D13" s="9">
        <f>AVERAGEIF('Per-task results'!$A:$A,$B13,'Per-task results'!$C:$C)</f>
        <v>7.2651428571428561E-2</v>
      </c>
      <c r="E13" s="10">
        <f>AVERAGEIF('Per-task results'!$A:$A,$B13,'Per-task results'!$D:$D)</f>
        <v>0</v>
      </c>
      <c r="F13" s="10">
        <f>AVERAGEIF('Per-task results'!$A:$A,$B13,'Per-task results'!$E:$E)</f>
        <v>0.37142857142857144</v>
      </c>
      <c r="G13" s="11">
        <f>AVERAGEIF('Per-task results'!$A:$A,$B13,'Per-task results'!$F:$F)</f>
        <v>5.6342857142857143</v>
      </c>
      <c r="H13" s="12">
        <f>SUMIF('Per-task results'!$A:$A,$B13,'Per-task results'!$G:$G)/SUMIF('Per-task results'!$A:$A,$B13,'Per-task results'!$F:$F)</f>
        <v>235</v>
      </c>
      <c r="I13" s="12">
        <f>COUNTIF('Per-task results'!$A:$A,$B13)</f>
        <v>35</v>
      </c>
    </row>
    <row r="14" spans="2:9" x14ac:dyDescent="0.25">
      <c r="B14" s="7" t="s">
        <v>23</v>
      </c>
      <c r="C14" s="8" t="s">
        <v>24</v>
      </c>
      <c r="D14" s="9">
        <f>AVERAGEIF('Per-task results'!$A:$A,$B14,'Per-task results'!$C:$C)</f>
        <v>0.12640857142857143</v>
      </c>
      <c r="E14" s="10">
        <f>AVERAGEIF('Per-task results'!$A:$A,$B14,'Per-task results'!$D:$D)</f>
        <v>0</v>
      </c>
      <c r="F14" s="10">
        <f>AVERAGEIF('Per-task results'!$A:$A,$B14,'Per-task results'!$E:$E)</f>
        <v>1</v>
      </c>
      <c r="G14" s="11">
        <f>AVERAGEIF('Per-task results'!$A:$A,$B14,'Per-task results'!$F:$F)</f>
        <v>12.511428571428571</v>
      </c>
      <c r="H14" s="12">
        <f>SUMIF('Per-task results'!$A:$A,$B14,'Per-task results'!$G:$G)/SUMIF('Per-task results'!$A:$A,$B14,'Per-task results'!$F:$F)</f>
        <v>185.90774149349167</v>
      </c>
      <c r="I14" s="12">
        <f>COUNTIF('Per-task results'!$A:$A,$B14)</f>
        <v>35</v>
      </c>
    </row>
    <row r="15" spans="2:9" x14ac:dyDescent="0.25">
      <c r="B15" s="7" t="s">
        <v>25</v>
      </c>
      <c r="C15" s="8" t="s">
        <v>26</v>
      </c>
      <c r="D15" s="9">
        <f>AVERAGEIF('Per-task results'!$A:$A,$B15,'Per-task results'!$C:$C)</f>
        <v>0.11051428571428572</v>
      </c>
      <c r="E15" s="10">
        <f>AVERAGEIF('Per-task results'!$A:$A,$B15,'Per-task results'!$D:$D)</f>
        <v>0</v>
      </c>
      <c r="F15" s="10">
        <f>AVERAGEIF('Per-task results'!$A:$A,$B15,'Per-task results'!$E:$E)</f>
        <v>1</v>
      </c>
      <c r="G15" s="11">
        <f>AVERAGEIF('Per-task results'!$A:$A,$B15,'Per-task results'!$F:$F)</f>
        <v>10.140000000000002</v>
      </c>
      <c r="H15" s="12">
        <f>SUMIF('Per-task results'!$A:$A,$B15,'Per-task results'!$G:$G)/SUMIF('Per-task results'!$A:$A,$B15,'Per-task results'!$F:$F)</f>
        <v>228.94899971823043</v>
      </c>
      <c r="I15" s="12">
        <f>COUNTIF('Per-task results'!$A:$A,$B15)</f>
        <v>35</v>
      </c>
    </row>
    <row r="17" spans="2:3" x14ac:dyDescent="0.25">
      <c r="B17" s="5" t="s">
        <v>27</v>
      </c>
    </row>
    <row r="18" spans="2:3" ht="39.950000000000003" customHeight="1" x14ac:dyDescent="0.25">
      <c r="C18" s="13" t="s">
        <v>28</v>
      </c>
    </row>
    <row r="19" spans="2:3" ht="39.950000000000003" customHeight="1" x14ac:dyDescent="0.25">
      <c r="C19" s="13" t="s">
        <v>29</v>
      </c>
    </row>
    <row r="20" spans="2:3" ht="39.950000000000003" customHeight="1" x14ac:dyDescent="0.25">
      <c r="C20" s="13" t="s">
        <v>30</v>
      </c>
    </row>
    <row r="21" spans="2:3" x14ac:dyDescent="0.25">
      <c r="B21" s="5" t="s">
        <v>31</v>
      </c>
    </row>
    <row r="22" spans="2:3" ht="39.950000000000003" customHeight="1" x14ac:dyDescent="0.25">
      <c r="C22" s="13" t="s">
        <v>32</v>
      </c>
    </row>
    <row r="23" spans="2:3" x14ac:dyDescent="0.25">
      <c r="B23" s="5" t="s">
        <v>33</v>
      </c>
    </row>
    <row r="24" spans="2:3" ht="39.950000000000003" customHeight="1" x14ac:dyDescent="0.25">
      <c r="C24" s="1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8" customWidth="1"/>
    <col min="3" max="3" width="10" customWidth="1"/>
    <col min="4" max="5" width="12" customWidth="1"/>
    <col min="6" max="8" width="10" customWidth="1"/>
    <col min="9" max="9" width="13" customWidth="1"/>
  </cols>
  <sheetData>
    <row r="1" spans="1:9" x14ac:dyDescent="0.25">
      <c r="A1" s="14" t="s">
        <v>13</v>
      </c>
      <c r="B1" s="14" t="s">
        <v>35</v>
      </c>
      <c r="C1" s="14" t="s">
        <v>36</v>
      </c>
      <c r="D1" s="14" t="s">
        <v>37</v>
      </c>
      <c r="E1" s="14" t="s">
        <v>38</v>
      </c>
      <c r="F1" s="14" t="s">
        <v>39</v>
      </c>
      <c r="G1" s="14" t="s">
        <v>40</v>
      </c>
      <c r="H1" s="14" t="s">
        <v>41</v>
      </c>
      <c r="I1" s="14" t="s">
        <v>42</v>
      </c>
    </row>
    <row r="2" spans="1:9" x14ac:dyDescent="0.25">
      <c r="A2" s="4" t="s">
        <v>21</v>
      </c>
      <c r="B2" s="4">
        <v>3</v>
      </c>
      <c r="C2" s="15">
        <v>0.1414</v>
      </c>
      <c r="D2" s="4">
        <v>0</v>
      </c>
      <c r="E2" s="4">
        <v>0</v>
      </c>
      <c r="F2" s="16">
        <v>5.2</v>
      </c>
      <c r="G2" s="4">
        <v>278</v>
      </c>
      <c r="H2" s="4">
        <v>523</v>
      </c>
      <c r="I2" s="17">
        <f t="shared" ref="I2:I33" si="0">G2/F2</f>
        <v>53.46153846153846</v>
      </c>
    </row>
    <row r="3" spans="1:9" x14ac:dyDescent="0.25">
      <c r="A3" s="4" t="s">
        <v>21</v>
      </c>
      <c r="B3" s="4">
        <v>25</v>
      </c>
      <c r="C3" s="15">
        <v>1.47E-2</v>
      </c>
      <c r="D3" s="4">
        <v>0</v>
      </c>
      <c r="E3" s="4">
        <v>1</v>
      </c>
      <c r="F3" s="16">
        <v>8.3000000000000007</v>
      </c>
      <c r="G3" s="4">
        <v>2443</v>
      </c>
      <c r="H3" s="4">
        <v>8996</v>
      </c>
      <c r="I3" s="17">
        <f t="shared" si="0"/>
        <v>294.33734939759034</v>
      </c>
    </row>
    <row r="4" spans="1:9" x14ac:dyDescent="0.25">
      <c r="A4" s="4" t="s">
        <v>21</v>
      </c>
      <c r="B4" s="4">
        <v>9</v>
      </c>
      <c r="C4" s="15">
        <v>7.9600000000000004E-2</v>
      </c>
      <c r="D4" s="4">
        <v>0</v>
      </c>
      <c r="E4" s="4">
        <v>1</v>
      </c>
      <c r="F4" s="16">
        <v>5.5</v>
      </c>
      <c r="G4" s="4">
        <v>1523</v>
      </c>
      <c r="H4" s="4">
        <v>3599</v>
      </c>
      <c r="I4" s="17">
        <f t="shared" si="0"/>
        <v>276.90909090909093</v>
      </c>
    </row>
    <row r="5" spans="1:9" x14ac:dyDescent="0.25">
      <c r="A5" s="4" t="s">
        <v>21</v>
      </c>
      <c r="B5" s="4">
        <v>31</v>
      </c>
      <c r="C5" s="15">
        <v>6.3299999999999995E-2</v>
      </c>
      <c r="D5" s="4">
        <v>0</v>
      </c>
      <c r="E5" s="4">
        <v>0</v>
      </c>
      <c r="F5" s="16">
        <v>7.3</v>
      </c>
      <c r="G5" s="4">
        <v>1465</v>
      </c>
      <c r="H5" s="4">
        <v>11164</v>
      </c>
      <c r="I5" s="17">
        <f t="shared" si="0"/>
        <v>200.68493150684932</v>
      </c>
    </row>
    <row r="6" spans="1:9" x14ac:dyDescent="0.25">
      <c r="A6" s="4" t="s">
        <v>21</v>
      </c>
      <c r="B6" s="4">
        <v>5</v>
      </c>
      <c r="C6" s="15">
        <v>7.7999999999999996E-3</v>
      </c>
      <c r="D6" s="4">
        <v>0</v>
      </c>
      <c r="E6" s="4">
        <v>1</v>
      </c>
      <c r="F6" s="16">
        <v>8.5</v>
      </c>
      <c r="G6" s="4">
        <v>2590</v>
      </c>
      <c r="H6" s="4">
        <v>9554</v>
      </c>
      <c r="I6" s="17">
        <f t="shared" si="0"/>
        <v>304.70588235294116</v>
      </c>
    </row>
    <row r="7" spans="1:9" x14ac:dyDescent="0.25">
      <c r="A7" s="4" t="s">
        <v>21</v>
      </c>
      <c r="B7" s="4">
        <v>27</v>
      </c>
      <c r="C7" s="15">
        <v>0.1061</v>
      </c>
      <c r="D7" s="4">
        <v>0</v>
      </c>
      <c r="E7" s="4">
        <v>0</v>
      </c>
      <c r="F7" s="16">
        <v>6.8</v>
      </c>
      <c r="G7" s="4">
        <v>1489</v>
      </c>
      <c r="H7" s="4">
        <v>4321</v>
      </c>
      <c r="I7" s="17">
        <f t="shared" si="0"/>
        <v>218.97058823529412</v>
      </c>
    </row>
    <row r="8" spans="1:9" x14ac:dyDescent="0.25">
      <c r="A8" s="4" t="s">
        <v>21</v>
      </c>
      <c r="B8" s="4">
        <v>11</v>
      </c>
      <c r="C8" s="15">
        <v>8.5900000000000004E-2</v>
      </c>
      <c r="D8" s="4">
        <v>0</v>
      </c>
      <c r="E8" s="4">
        <v>0</v>
      </c>
      <c r="F8" s="16">
        <v>2.5</v>
      </c>
      <c r="G8" s="4">
        <v>436</v>
      </c>
      <c r="H8" s="4">
        <v>3635</v>
      </c>
      <c r="I8" s="17">
        <f t="shared" si="0"/>
        <v>174.4</v>
      </c>
    </row>
    <row r="9" spans="1:9" x14ac:dyDescent="0.25">
      <c r="A9" s="4" t="s">
        <v>21</v>
      </c>
      <c r="B9" s="4">
        <v>1</v>
      </c>
      <c r="C9" s="15">
        <v>6.4500000000000002E-2</v>
      </c>
      <c r="D9" s="4">
        <v>0</v>
      </c>
      <c r="E9" s="4">
        <v>0</v>
      </c>
      <c r="F9" s="16">
        <v>2.5</v>
      </c>
      <c r="G9" s="4">
        <v>323</v>
      </c>
      <c r="H9" s="4">
        <v>1435</v>
      </c>
      <c r="I9" s="17">
        <f t="shared" si="0"/>
        <v>129.19999999999999</v>
      </c>
    </row>
    <row r="10" spans="1:9" x14ac:dyDescent="0.25">
      <c r="A10" s="4" t="s">
        <v>21</v>
      </c>
      <c r="B10" s="4">
        <v>16</v>
      </c>
      <c r="C10" s="15">
        <v>1.09E-2</v>
      </c>
      <c r="D10" s="4">
        <v>0</v>
      </c>
      <c r="E10" s="4">
        <v>1</v>
      </c>
      <c r="F10" s="16">
        <v>6.7</v>
      </c>
      <c r="G10" s="4">
        <v>1848</v>
      </c>
      <c r="H10" s="4">
        <v>22576</v>
      </c>
      <c r="I10" s="17">
        <f t="shared" si="0"/>
        <v>275.82089552238807</v>
      </c>
    </row>
    <row r="11" spans="1:9" x14ac:dyDescent="0.25">
      <c r="A11" s="4" t="s">
        <v>21</v>
      </c>
      <c r="B11" s="4">
        <v>7</v>
      </c>
      <c r="C11" s="15">
        <v>3.39E-2</v>
      </c>
      <c r="D11" s="4">
        <v>0</v>
      </c>
      <c r="E11" s="4">
        <v>1</v>
      </c>
      <c r="F11" s="16">
        <v>7.2</v>
      </c>
      <c r="G11" s="4">
        <v>1893</v>
      </c>
      <c r="H11" s="4">
        <v>3315</v>
      </c>
      <c r="I11" s="17">
        <f t="shared" si="0"/>
        <v>262.91666666666669</v>
      </c>
    </row>
    <row r="12" spans="1:9" x14ac:dyDescent="0.25">
      <c r="A12" s="4" t="s">
        <v>21</v>
      </c>
      <c r="B12" s="4">
        <v>12</v>
      </c>
      <c r="C12" s="15">
        <v>2.8899999999999999E-2</v>
      </c>
      <c r="D12" s="4">
        <v>0</v>
      </c>
      <c r="E12" s="4">
        <v>1</v>
      </c>
      <c r="F12" s="16">
        <v>10.199999999999999</v>
      </c>
      <c r="G12" s="4">
        <v>2804</v>
      </c>
      <c r="H12" s="4">
        <v>1013</v>
      </c>
      <c r="I12" s="17">
        <f t="shared" si="0"/>
        <v>274.90196078431376</v>
      </c>
    </row>
    <row r="13" spans="1:9" x14ac:dyDescent="0.25">
      <c r="A13" s="4" t="s">
        <v>21</v>
      </c>
      <c r="B13" s="4">
        <v>34</v>
      </c>
      <c r="C13" s="15">
        <v>0.1726</v>
      </c>
      <c r="D13" s="4">
        <v>0</v>
      </c>
      <c r="E13" s="4">
        <v>0</v>
      </c>
      <c r="F13" s="16">
        <v>12.1</v>
      </c>
      <c r="G13" s="4">
        <v>3216</v>
      </c>
      <c r="H13" s="4">
        <v>6449</v>
      </c>
      <c r="I13" s="17">
        <f t="shared" si="0"/>
        <v>265.78512396694214</v>
      </c>
    </row>
    <row r="14" spans="1:9" x14ac:dyDescent="0.25">
      <c r="A14" s="4" t="s">
        <v>21</v>
      </c>
      <c r="B14" s="4">
        <v>8</v>
      </c>
      <c r="C14" s="15">
        <v>5.8799999999999998E-2</v>
      </c>
      <c r="D14" s="4">
        <v>0</v>
      </c>
      <c r="E14" s="4">
        <v>0</v>
      </c>
      <c r="F14" s="16">
        <v>3.2</v>
      </c>
      <c r="G14" s="4">
        <v>784</v>
      </c>
      <c r="H14" s="4">
        <v>91</v>
      </c>
      <c r="I14" s="17">
        <f t="shared" si="0"/>
        <v>245</v>
      </c>
    </row>
    <row r="15" spans="1:9" x14ac:dyDescent="0.25">
      <c r="A15" s="4" t="s">
        <v>21</v>
      </c>
      <c r="B15" s="4">
        <v>14</v>
      </c>
      <c r="C15" s="15">
        <v>1.6000000000000001E-3</v>
      </c>
      <c r="D15" s="4">
        <v>0</v>
      </c>
      <c r="E15" s="4">
        <v>1</v>
      </c>
      <c r="F15" s="16">
        <v>0.9</v>
      </c>
      <c r="G15" s="4">
        <v>188</v>
      </c>
      <c r="H15" s="4">
        <v>14944</v>
      </c>
      <c r="I15" s="17">
        <f t="shared" si="0"/>
        <v>208.88888888888889</v>
      </c>
    </row>
    <row r="16" spans="1:9" x14ac:dyDescent="0.25">
      <c r="A16" s="4" t="s">
        <v>21</v>
      </c>
      <c r="B16" s="4">
        <v>36</v>
      </c>
      <c r="C16" s="15">
        <v>3.3E-3</v>
      </c>
      <c r="D16" s="4">
        <v>0</v>
      </c>
      <c r="E16" s="4">
        <v>1</v>
      </c>
      <c r="F16" s="16">
        <v>0.8</v>
      </c>
      <c r="G16" s="4">
        <v>184</v>
      </c>
      <c r="H16" s="4">
        <v>11422</v>
      </c>
      <c r="I16" s="17">
        <f t="shared" si="0"/>
        <v>230</v>
      </c>
    </row>
    <row r="17" spans="1:9" x14ac:dyDescent="0.25">
      <c r="A17" s="4" t="s">
        <v>21</v>
      </c>
      <c r="B17" s="4">
        <v>10</v>
      </c>
      <c r="C17" s="15">
        <v>1.83E-2</v>
      </c>
      <c r="D17" s="4">
        <v>0</v>
      </c>
      <c r="E17" s="4">
        <v>0</v>
      </c>
      <c r="F17" s="16">
        <v>3</v>
      </c>
      <c r="G17" s="4">
        <v>486</v>
      </c>
      <c r="H17" s="4">
        <v>7770</v>
      </c>
      <c r="I17" s="17">
        <f t="shared" si="0"/>
        <v>162</v>
      </c>
    </row>
    <row r="18" spans="1:9" x14ac:dyDescent="0.25">
      <c r="A18" s="4" t="s">
        <v>21</v>
      </c>
      <c r="B18" s="4">
        <v>32</v>
      </c>
      <c r="C18" s="15">
        <v>0.2271</v>
      </c>
      <c r="D18" s="4">
        <v>0</v>
      </c>
      <c r="E18" s="4">
        <v>0</v>
      </c>
      <c r="F18" s="16">
        <v>2.1</v>
      </c>
      <c r="G18" s="4">
        <v>303</v>
      </c>
      <c r="H18" s="4">
        <v>1101</v>
      </c>
      <c r="I18" s="17">
        <f t="shared" si="0"/>
        <v>144.28571428571428</v>
      </c>
    </row>
    <row r="19" spans="1:9" x14ac:dyDescent="0.25">
      <c r="A19" s="4" t="s">
        <v>21</v>
      </c>
      <c r="B19" s="4">
        <v>6</v>
      </c>
      <c r="C19" s="15">
        <v>0.1898</v>
      </c>
      <c r="D19" s="4">
        <v>0</v>
      </c>
      <c r="E19" s="4">
        <v>0</v>
      </c>
      <c r="F19" s="16">
        <v>4.8</v>
      </c>
      <c r="G19" s="4">
        <v>985</v>
      </c>
      <c r="H19" s="4">
        <v>3441</v>
      </c>
      <c r="I19" s="17">
        <f t="shared" si="0"/>
        <v>205.20833333333334</v>
      </c>
    </row>
    <row r="20" spans="1:9" x14ac:dyDescent="0.25">
      <c r="A20" s="4" t="s">
        <v>21</v>
      </c>
      <c r="B20" s="4">
        <v>21</v>
      </c>
      <c r="C20" s="15">
        <v>0.1075</v>
      </c>
      <c r="D20" s="4">
        <v>0</v>
      </c>
      <c r="E20" s="4">
        <v>0</v>
      </c>
      <c r="F20" s="16">
        <v>1.8</v>
      </c>
      <c r="G20" s="4">
        <v>332</v>
      </c>
      <c r="H20" s="4">
        <v>443</v>
      </c>
      <c r="I20" s="17">
        <f t="shared" si="0"/>
        <v>184.44444444444443</v>
      </c>
    </row>
    <row r="21" spans="1:9" x14ac:dyDescent="0.25">
      <c r="A21" s="4" t="s">
        <v>21</v>
      </c>
      <c r="B21" s="4">
        <v>17</v>
      </c>
      <c r="C21" s="15">
        <v>6.0000000000000001E-3</v>
      </c>
      <c r="D21" s="4">
        <v>0</v>
      </c>
      <c r="E21" s="4">
        <v>1</v>
      </c>
      <c r="F21" s="16">
        <v>7.4</v>
      </c>
      <c r="G21" s="4">
        <v>1880</v>
      </c>
      <c r="H21" s="4">
        <v>8247</v>
      </c>
      <c r="I21" s="17">
        <f t="shared" si="0"/>
        <v>254.05405405405403</v>
      </c>
    </row>
    <row r="22" spans="1:9" x14ac:dyDescent="0.25">
      <c r="A22" s="4" t="s">
        <v>21</v>
      </c>
      <c r="B22" s="4">
        <v>23</v>
      </c>
      <c r="C22" s="15">
        <v>8.2400000000000001E-2</v>
      </c>
      <c r="D22" s="4">
        <v>0</v>
      </c>
      <c r="E22" s="4">
        <v>0</v>
      </c>
      <c r="F22" s="16">
        <v>1.9</v>
      </c>
      <c r="G22" s="4">
        <v>231</v>
      </c>
      <c r="H22" s="4">
        <v>1659</v>
      </c>
      <c r="I22" s="17">
        <f t="shared" si="0"/>
        <v>121.57894736842105</v>
      </c>
    </row>
    <row r="23" spans="1:9" x14ac:dyDescent="0.25">
      <c r="A23" s="4" t="s">
        <v>21</v>
      </c>
      <c r="B23" s="4">
        <v>13</v>
      </c>
      <c r="C23" s="15">
        <v>2.8799999999999999E-2</v>
      </c>
      <c r="D23" s="4">
        <v>0</v>
      </c>
      <c r="E23" s="4">
        <v>1</v>
      </c>
      <c r="F23" s="16">
        <v>9.6</v>
      </c>
      <c r="G23" s="4">
        <v>2489</v>
      </c>
      <c r="H23" s="4">
        <v>12528</v>
      </c>
      <c r="I23" s="17">
        <f t="shared" si="0"/>
        <v>259.27083333333337</v>
      </c>
    </row>
    <row r="24" spans="1:9" x14ac:dyDescent="0.25">
      <c r="A24" s="4" t="s">
        <v>21</v>
      </c>
      <c r="B24" s="4">
        <v>28</v>
      </c>
      <c r="C24" s="15">
        <v>6.0299999999999999E-2</v>
      </c>
      <c r="D24" s="4">
        <v>0</v>
      </c>
      <c r="E24" s="4">
        <v>0</v>
      </c>
      <c r="F24" s="16">
        <v>10.5</v>
      </c>
      <c r="G24" s="4">
        <v>2774</v>
      </c>
      <c r="H24" s="4">
        <v>5369</v>
      </c>
      <c r="I24" s="17">
        <f t="shared" si="0"/>
        <v>264.1904761904762</v>
      </c>
    </row>
    <row r="25" spans="1:9" x14ac:dyDescent="0.25">
      <c r="A25" s="4" t="s">
        <v>21</v>
      </c>
      <c r="B25" s="4">
        <v>19</v>
      </c>
      <c r="C25" s="15">
        <v>6.3700000000000007E-2</v>
      </c>
      <c r="D25" s="4">
        <v>0</v>
      </c>
      <c r="E25" s="4">
        <v>1</v>
      </c>
      <c r="F25" s="16">
        <v>3.5</v>
      </c>
      <c r="G25" s="4">
        <v>960</v>
      </c>
      <c r="H25" s="4">
        <v>303</v>
      </c>
      <c r="I25" s="17">
        <f t="shared" si="0"/>
        <v>274.28571428571428</v>
      </c>
    </row>
    <row r="26" spans="1:9" x14ac:dyDescent="0.25">
      <c r="A26" s="4" t="s">
        <v>21</v>
      </c>
      <c r="B26" s="4">
        <v>24</v>
      </c>
      <c r="C26" s="15">
        <v>2.2800000000000001E-2</v>
      </c>
      <c r="D26" s="4">
        <v>0</v>
      </c>
      <c r="E26" s="4">
        <v>1</v>
      </c>
      <c r="F26" s="16">
        <v>11.3</v>
      </c>
      <c r="G26" s="4">
        <v>2746</v>
      </c>
      <c r="H26" s="4">
        <v>7281</v>
      </c>
      <c r="I26" s="17">
        <f t="shared" si="0"/>
        <v>243.0088495575221</v>
      </c>
    </row>
    <row r="27" spans="1:9" x14ac:dyDescent="0.25">
      <c r="A27" s="4" t="s">
        <v>21</v>
      </c>
      <c r="B27" s="4">
        <v>30</v>
      </c>
      <c r="C27" s="15">
        <v>3.8199999999999998E-2</v>
      </c>
      <c r="D27" s="4">
        <v>0</v>
      </c>
      <c r="E27" s="4">
        <v>0</v>
      </c>
      <c r="F27" s="16">
        <v>4.5999999999999996</v>
      </c>
      <c r="G27" s="4">
        <v>1024</v>
      </c>
      <c r="H27" s="4">
        <v>787</v>
      </c>
      <c r="I27" s="17">
        <f t="shared" si="0"/>
        <v>222.60869565217394</v>
      </c>
    </row>
    <row r="28" spans="1:9" x14ac:dyDescent="0.25">
      <c r="A28" s="4" t="s">
        <v>21</v>
      </c>
      <c r="B28" s="4">
        <v>20</v>
      </c>
      <c r="C28" s="15">
        <v>6.0600000000000001E-2</v>
      </c>
      <c r="D28" s="4">
        <v>0</v>
      </c>
      <c r="E28" s="4">
        <v>0</v>
      </c>
      <c r="F28" s="16">
        <v>4.2</v>
      </c>
      <c r="G28" s="4">
        <v>934</v>
      </c>
      <c r="H28" s="4">
        <v>477</v>
      </c>
      <c r="I28" s="17">
        <f t="shared" si="0"/>
        <v>222.38095238095238</v>
      </c>
    </row>
    <row r="29" spans="1:9" x14ac:dyDescent="0.25">
      <c r="A29" s="4" t="s">
        <v>21</v>
      </c>
      <c r="B29" s="4">
        <v>4</v>
      </c>
      <c r="C29" s="15">
        <v>6.6600000000000006E-2</v>
      </c>
      <c r="D29" s="4">
        <v>0</v>
      </c>
      <c r="E29" s="4">
        <v>0</v>
      </c>
      <c r="F29" s="16">
        <v>2.5</v>
      </c>
      <c r="G29" s="4">
        <v>544</v>
      </c>
      <c r="H29" s="4">
        <v>1759</v>
      </c>
      <c r="I29" s="17">
        <f t="shared" si="0"/>
        <v>217.6</v>
      </c>
    </row>
    <row r="30" spans="1:9" x14ac:dyDescent="0.25">
      <c r="A30" s="4" t="s">
        <v>21</v>
      </c>
      <c r="B30" s="4">
        <v>26</v>
      </c>
      <c r="C30" s="15">
        <v>1.0800000000000001E-2</v>
      </c>
      <c r="D30" s="4">
        <v>0</v>
      </c>
      <c r="E30" s="4">
        <v>0</v>
      </c>
      <c r="F30" s="16">
        <v>3.2</v>
      </c>
      <c r="G30" s="4">
        <v>380</v>
      </c>
      <c r="H30" s="4">
        <v>2062</v>
      </c>
      <c r="I30" s="17">
        <f t="shared" si="0"/>
        <v>118.75</v>
      </c>
    </row>
    <row r="31" spans="1:9" x14ac:dyDescent="0.25">
      <c r="A31" s="4" t="s">
        <v>21</v>
      </c>
      <c r="B31" s="4">
        <v>22</v>
      </c>
      <c r="C31" s="15">
        <v>0.19500000000000001</v>
      </c>
      <c r="D31" s="4">
        <v>0</v>
      </c>
      <c r="E31" s="4">
        <v>0</v>
      </c>
      <c r="F31" s="16">
        <v>5.0999999999999996</v>
      </c>
      <c r="G31" s="4">
        <v>1469</v>
      </c>
      <c r="H31" s="4">
        <v>1633</v>
      </c>
      <c r="I31" s="17">
        <f t="shared" si="0"/>
        <v>288.03921568627453</v>
      </c>
    </row>
    <row r="32" spans="1:9" x14ac:dyDescent="0.25">
      <c r="A32" s="4" t="s">
        <v>21</v>
      </c>
      <c r="B32" s="4">
        <v>18</v>
      </c>
      <c r="C32" s="15">
        <v>8.6699999999999999E-2</v>
      </c>
      <c r="D32" s="4">
        <v>0</v>
      </c>
      <c r="E32" s="4">
        <v>0</v>
      </c>
      <c r="F32" s="16">
        <v>7</v>
      </c>
      <c r="G32" s="4">
        <v>1374</v>
      </c>
      <c r="H32" s="4">
        <v>5415</v>
      </c>
      <c r="I32" s="17">
        <f t="shared" si="0"/>
        <v>196.28571428571428</v>
      </c>
    </row>
    <row r="33" spans="1:9" x14ac:dyDescent="0.25">
      <c r="A33" s="4" t="s">
        <v>21</v>
      </c>
      <c r="B33" s="4">
        <v>33</v>
      </c>
      <c r="C33" s="15">
        <v>3.0599999999999999E-2</v>
      </c>
      <c r="D33" s="4">
        <v>0</v>
      </c>
      <c r="E33" s="4">
        <v>1</v>
      </c>
      <c r="F33" s="16">
        <v>2.9</v>
      </c>
      <c r="G33" s="4">
        <v>703</v>
      </c>
      <c r="H33" s="4">
        <v>5010</v>
      </c>
      <c r="I33" s="17">
        <f t="shared" si="0"/>
        <v>242.41379310344828</v>
      </c>
    </row>
    <row r="34" spans="1:9" x14ac:dyDescent="0.25">
      <c r="A34" s="4" t="s">
        <v>21</v>
      </c>
      <c r="B34" s="4">
        <v>2</v>
      </c>
      <c r="C34" s="15">
        <v>7.6899999999999996E-2</v>
      </c>
      <c r="D34" s="4">
        <v>0</v>
      </c>
      <c r="E34" s="4">
        <v>0</v>
      </c>
      <c r="F34" s="16">
        <v>12.1</v>
      </c>
      <c r="G34" s="4">
        <v>2603</v>
      </c>
      <c r="H34" s="4">
        <v>1802</v>
      </c>
      <c r="I34" s="17">
        <f t="shared" ref="I34:I65" si="1">G34/F34</f>
        <v>215.12396694214877</v>
      </c>
    </row>
    <row r="35" spans="1:9" x14ac:dyDescent="0.25">
      <c r="A35" s="4" t="s">
        <v>21</v>
      </c>
      <c r="B35" s="4">
        <v>29</v>
      </c>
      <c r="C35" s="15">
        <v>7.8399999999999997E-2</v>
      </c>
      <c r="D35" s="4">
        <v>0</v>
      </c>
      <c r="E35" s="4">
        <v>0</v>
      </c>
      <c r="F35" s="16">
        <v>3.8</v>
      </c>
      <c r="G35" s="4">
        <v>935</v>
      </c>
      <c r="H35" s="4">
        <v>2429</v>
      </c>
      <c r="I35" s="17">
        <f t="shared" si="1"/>
        <v>246.05263157894737</v>
      </c>
    </row>
    <row r="36" spans="1:9" x14ac:dyDescent="0.25">
      <c r="A36" s="4" t="s">
        <v>21</v>
      </c>
      <c r="B36" s="4">
        <v>35</v>
      </c>
      <c r="C36" s="15">
        <v>0.219</v>
      </c>
      <c r="D36" s="4">
        <v>0</v>
      </c>
      <c r="E36" s="4">
        <v>0</v>
      </c>
      <c r="F36" s="16">
        <v>8.1999999999999993</v>
      </c>
      <c r="G36" s="4">
        <v>1726</v>
      </c>
      <c r="H36" s="4">
        <v>2234</v>
      </c>
      <c r="I36" s="17">
        <f t="shared" si="1"/>
        <v>210.48780487804879</v>
      </c>
    </row>
    <row r="37" spans="1:9" x14ac:dyDescent="0.25">
      <c r="A37" s="4" t="s">
        <v>23</v>
      </c>
      <c r="B37" s="4">
        <v>3</v>
      </c>
      <c r="C37" s="15">
        <v>0.2293</v>
      </c>
      <c r="D37" s="4">
        <v>0</v>
      </c>
      <c r="E37" s="4">
        <v>1</v>
      </c>
      <c r="F37" s="16">
        <v>12.2</v>
      </c>
      <c r="G37" s="4">
        <v>1212</v>
      </c>
      <c r="H37" s="4">
        <v>523</v>
      </c>
      <c r="I37" s="17">
        <f t="shared" si="1"/>
        <v>99.344262295081975</v>
      </c>
    </row>
    <row r="38" spans="1:9" x14ac:dyDescent="0.25">
      <c r="A38" s="4" t="s">
        <v>23</v>
      </c>
      <c r="B38" s="4">
        <v>25</v>
      </c>
      <c r="C38" s="15">
        <v>3.2099999999999997E-2</v>
      </c>
      <c r="D38" s="4">
        <v>0</v>
      </c>
      <c r="E38" s="4">
        <v>1</v>
      </c>
      <c r="F38" s="16">
        <v>14</v>
      </c>
      <c r="G38" s="4">
        <v>2802</v>
      </c>
      <c r="H38" s="4">
        <v>8996</v>
      </c>
      <c r="I38" s="17">
        <f t="shared" si="1"/>
        <v>200.14285714285714</v>
      </c>
    </row>
    <row r="39" spans="1:9" x14ac:dyDescent="0.25">
      <c r="A39" s="4" t="s">
        <v>23</v>
      </c>
      <c r="B39" s="4">
        <v>9</v>
      </c>
      <c r="C39" s="15">
        <v>5.2299999999999999E-2</v>
      </c>
      <c r="D39" s="4">
        <v>0</v>
      </c>
      <c r="E39" s="4">
        <v>1</v>
      </c>
      <c r="F39" s="16">
        <v>14</v>
      </c>
      <c r="G39" s="4">
        <v>2497</v>
      </c>
      <c r="H39" s="4">
        <v>3599</v>
      </c>
      <c r="I39" s="17">
        <f t="shared" si="1"/>
        <v>178.35714285714286</v>
      </c>
    </row>
    <row r="40" spans="1:9" x14ac:dyDescent="0.25">
      <c r="A40" s="4" t="s">
        <v>23</v>
      </c>
      <c r="B40" s="4">
        <v>31</v>
      </c>
      <c r="C40" s="15">
        <v>0.1007</v>
      </c>
      <c r="D40" s="4">
        <v>0</v>
      </c>
      <c r="E40" s="4">
        <v>1</v>
      </c>
      <c r="F40" s="16">
        <v>16.100000000000001</v>
      </c>
      <c r="G40" s="4">
        <v>2698</v>
      </c>
      <c r="H40" s="4">
        <v>11164</v>
      </c>
      <c r="I40" s="17">
        <f t="shared" si="1"/>
        <v>167.57763975155277</v>
      </c>
    </row>
    <row r="41" spans="1:9" x14ac:dyDescent="0.25">
      <c r="A41" s="4" t="s">
        <v>23</v>
      </c>
      <c r="B41" s="4">
        <v>5</v>
      </c>
      <c r="C41" s="15">
        <v>1.78E-2</v>
      </c>
      <c r="D41" s="4">
        <v>0</v>
      </c>
      <c r="E41" s="4">
        <v>1</v>
      </c>
      <c r="F41" s="16">
        <v>14.2</v>
      </c>
      <c r="G41" s="4">
        <v>2971</v>
      </c>
      <c r="H41" s="4">
        <v>9554</v>
      </c>
      <c r="I41" s="17">
        <f t="shared" si="1"/>
        <v>209.22535211267606</v>
      </c>
    </row>
    <row r="42" spans="1:9" x14ac:dyDescent="0.25">
      <c r="A42" s="4" t="s">
        <v>23</v>
      </c>
      <c r="B42" s="4">
        <v>27</v>
      </c>
      <c r="C42" s="15">
        <v>0.1231</v>
      </c>
      <c r="D42" s="4">
        <v>0</v>
      </c>
      <c r="E42" s="4">
        <v>1</v>
      </c>
      <c r="F42" s="16">
        <v>14.9</v>
      </c>
      <c r="G42" s="4">
        <v>2588</v>
      </c>
      <c r="H42" s="4">
        <v>4321</v>
      </c>
      <c r="I42" s="17">
        <f t="shared" si="1"/>
        <v>173.69127516778522</v>
      </c>
    </row>
    <row r="43" spans="1:9" x14ac:dyDescent="0.25">
      <c r="A43" s="4" t="s">
        <v>23</v>
      </c>
      <c r="B43" s="4">
        <v>11</v>
      </c>
      <c r="C43" s="15">
        <v>8.3500000000000005E-2</v>
      </c>
      <c r="D43" s="4">
        <v>0</v>
      </c>
      <c r="E43" s="4">
        <v>1</v>
      </c>
      <c r="F43" s="16">
        <v>15</v>
      </c>
      <c r="G43" s="4">
        <v>2635</v>
      </c>
      <c r="H43" s="4">
        <v>3635</v>
      </c>
      <c r="I43" s="17">
        <f t="shared" si="1"/>
        <v>175.66666666666666</v>
      </c>
    </row>
    <row r="44" spans="1:9" x14ac:dyDescent="0.25">
      <c r="A44" s="4" t="s">
        <v>23</v>
      </c>
      <c r="B44" s="4">
        <v>1</v>
      </c>
      <c r="C44" s="15">
        <v>0.17699999999999999</v>
      </c>
      <c r="D44" s="4">
        <v>0</v>
      </c>
      <c r="E44" s="4">
        <v>1</v>
      </c>
      <c r="F44" s="16">
        <v>8.6</v>
      </c>
      <c r="G44" s="4">
        <v>1467</v>
      </c>
      <c r="H44" s="4">
        <v>1435</v>
      </c>
      <c r="I44" s="17">
        <f t="shared" si="1"/>
        <v>170.58139534883722</v>
      </c>
    </row>
    <row r="45" spans="1:9" x14ac:dyDescent="0.25">
      <c r="A45" s="4" t="s">
        <v>23</v>
      </c>
      <c r="B45" s="4">
        <v>16</v>
      </c>
      <c r="C45" s="15">
        <v>1.17E-2</v>
      </c>
      <c r="D45" s="4">
        <v>0</v>
      </c>
      <c r="E45" s="4">
        <v>1</v>
      </c>
      <c r="F45" s="16">
        <v>13.8</v>
      </c>
      <c r="G45" s="4">
        <v>2675</v>
      </c>
      <c r="H45" s="4">
        <v>22576</v>
      </c>
      <c r="I45" s="17">
        <f t="shared" si="1"/>
        <v>193.84057971014491</v>
      </c>
    </row>
    <row r="46" spans="1:9" x14ac:dyDescent="0.25">
      <c r="A46" s="4" t="s">
        <v>23</v>
      </c>
      <c r="B46" s="4">
        <v>7</v>
      </c>
      <c r="C46" s="15">
        <v>0.1346</v>
      </c>
      <c r="D46" s="4">
        <v>0</v>
      </c>
      <c r="E46" s="4">
        <v>1</v>
      </c>
      <c r="F46" s="16">
        <v>13.7</v>
      </c>
      <c r="G46" s="4">
        <v>2673</v>
      </c>
      <c r="H46" s="4">
        <v>3315</v>
      </c>
      <c r="I46" s="17">
        <f t="shared" si="1"/>
        <v>195.1094890510949</v>
      </c>
    </row>
    <row r="47" spans="1:9" x14ac:dyDescent="0.25">
      <c r="A47" s="4" t="s">
        <v>23</v>
      </c>
      <c r="B47" s="4">
        <v>12</v>
      </c>
      <c r="C47" s="15">
        <v>5.0200000000000002E-2</v>
      </c>
      <c r="D47" s="4">
        <v>0</v>
      </c>
      <c r="E47" s="4">
        <v>1</v>
      </c>
      <c r="F47" s="16">
        <v>13.7</v>
      </c>
      <c r="G47" s="4">
        <v>3092</v>
      </c>
      <c r="H47" s="4">
        <v>1013</v>
      </c>
      <c r="I47" s="17">
        <f t="shared" si="1"/>
        <v>225.69343065693431</v>
      </c>
    </row>
    <row r="48" spans="1:9" x14ac:dyDescent="0.25">
      <c r="A48" s="4" t="s">
        <v>23</v>
      </c>
      <c r="B48" s="4">
        <v>34</v>
      </c>
      <c r="C48" s="15">
        <v>0.1026</v>
      </c>
      <c r="D48" s="4">
        <v>0</v>
      </c>
      <c r="E48" s="4">
        <v>1</v>
      </c>
      <c r="F48" s="16">
        <v>14.8</v>
      </c>
      <c r="G48" s="4">
        <v>3044</v>
      </c>
      <c r="H48" s="4">
        <v>6449</v>
      </c>
      <c r="I48" s="17">
        <f t="shared" si="1"/>
        <v>205.67567567567568</v>
      </c>
    </row>
    <row r="49" spans="1:9" x14ac:dyDescent="0.25">
      <c r="A49" s="4" t="s">
        <v>23</v>
      </c>
      <c r="B49" s="4">
        <v>8</v>
      </c>
      <c r="C49" s="15">
        <v>3.4599999999999999E-2</v>
      </c>
      <c r="D49" s="4">
        <v>0</v>
      </c>
      <c r="E49" s="4">
        <v>1</v>
      </c>
      <c r="F49" s="16">
        <v>13.8</v>
      </c>
      <c r="G49" s="4">
        <v>2927</v>
      </c>
      <c r="H49" s="4">
        <v>91</v>
      </c>
      <c r="I49" s="17">
        <f t="shared" si="1"/>
        <v>212.10144927536231</v>
      </c>
    </row>
    <row r="50" spans="1:9" x14ac:dyDescent="0.25">
      <c r="A50" s="4" t="s">
        <v>23</v>
      </c>
      <c r="B50" s="4">
        <v>14</v>
      </c>
      <c r="C50" s="15">
        <v>3.78E-2</v>
      </c>
      <c r="D50" s="4">
        <v>0</v>
      </c>
      <c r="E50" s="4">
        <v>1</v>
      </c>
      <c r="F50" s="16">
        <v>13.7</v>
      </c>
      <c r="G50" s="4">
        <v>2936</v>
      </c>
      <c r="H50" s="4">
        <v>14944</v>
      </c>
      <c r="I50" s="17">
        <f t="shared" si="1"/>
        <v>214.30656934306572</v>
      </c>
    </row>
    <row r="51" spans="1:9" x14ac:dyDescent="0.25">
      <c r="A51" s="4" t="s">
        <v>23</v>
      </c>
      <c r="B51" s="4">
        <v>36</v>
      </c>
      <c r="C51" s="15">
        <v>2.86E-2</v>
      </c>
      <c r="D51" s="4">
        <v>0</v>
      </c>
      <c r="E51" s="4">
        <v>1</v>
      </c>
      <c r="F51" s="16">
        <v>14.1</v>
      </c>
      <c r="G51" s="4">
        <v>3544</v>
      </c>
      <c r="H51" s="4">
        <v>11422</v>
      </c>
      <c r="I51" s="17">
        <f t="shared" si="1"/>
        <v>251.34751773049646</v>
      </c>
    </row>
    <row r="52" spans="1:9" x14ac:dyDescent="0.25">
      <c r="A52" s="4" t="s">
        <v>23</v>
      </c>
      <c r="B52" s="4">
        <v>10</v>
      </c>
      <c r="C52" s="15">
        <v>7.1499999999999994E-2</v>
      </c>
      <c r="D52" s="4">
        <v>0</v>
      </c>
      <c r="E52" s="4">
        <v>1</v>
      </c>
      <c r="F52" s="16">
        <v>15.5</v>
      </c>
      <c r="G52" s="4">
        <v>2726</v>
      </c>
      <c r="H52" s="4">
        <v>7770</v>
      </c>
      <c r="I52" s="17">
        <f t="shared" si="1"/>
        <v>175.87096774193549</v>
      </c>
    </row>
    <row r="53" spans="1:9" x14ac:dyDescent="0.25">
      <c r="A53" s="4" t="s">
        <v>23</v>
      </c>
      <c r="B53" s="4">
        <v>32</v>
      </c>
      <c r="C53" s="15">
        <v>0.37940000000000002</v>
      </c>
      <c r="D53" s="4">
        <v>0</v>
      </c>
      <c r="E53" s="4">
        <v>1</v>
      </c>
      <c r="F53" s="16">
        <v>5.3</v>
      </c>
      <c r="G53" s="4">
        <v>761</v>
      </c>
      <c r="H53" s="4">
        <v>1101</v>
      </c>
      <c r="I53" s="17">
        <f t="shared" si="1"/>
        <v>143.58490566037736</v>
      </c>
    </row>
    <row r="54" spans="1:9" x14ac:dyDescent="0.25">
      <c r="A54" s="4" t="s">
        <v>23</v>
      </c>
      <c r="B54" s="4">
        <v>6</v>
      </c>
      <c r="C54" s="15">
        <v>0.1613</v>
      </c>
      <c r="D54" s="4">
        <v>0</v>
      </c>
      <c r="E54" s="4">
        <v>1</v>
      </c>
      <c r="F54" s="16">
        <v>12.7</v>
      </c>
      <c r="G54" s="4">
        <v>2243</v>
      </c>
      <c r="H54" s="4">
        <v>3441</v>
      </c>
      <c r="I54" s="17">
        <f t="shared" si="1"/>
        <v>176.61417322834646</v>
      </c>
    </row>
    <row r="55" spans="1:9" x14ac:dyDescent="0.25">
      <c r="A55" s="4" t="s">
        <v>23</v>
      </c>
      <c r="B55" s="4">
        <v>21</v>
      </c>
      <c r="C55" s="15">
        <v>0.20119999999999999</v>
      </c>
      <c r="D55" s="4">
        <v>0</v>
      </c>
      <c r="E55" s="4">
        <v>1</v>
      </c>
      <c r="F55" s="16">
        <v>1.1000000000000001</v>
      </c>
      <c r="G55" s="4">
        <v>63</v>
      </c>
      <c r="H55" s="4">
        <v>443</v>
      </c>
      <c r="I55" s="17">
        <f t="shared" si="1"/>
        <v>57.272727272727266</v>
      </c>
    </row>
    <row r="56" spans="1:9" x14ac:dyDescent="0.25">
      <c r="A56" s="4" t="s">
        <v>23</v>
      </c>
      <c r="B56" s="4">
        <v>17</v>
      </c>
      <c r="C56" s="15">
        <v>2.9899999999999999E-2</v>
      </c>
      <c r="D56" s="4">
        <v>0</v>
      </c>
      <c r="E56" s="4">
        <v>1</v>
      </c>
      <c r="F56" s="16">
        <v>14.1</v>
      </c>
      <c r="G56" s="4">
        <v>2589</v>
      </c>
      <c r="H56" s="4">
        <v>8247</v>
      </c>
      <c r="I56" s="17">
        <f t="shared" si="1"/>
        <v>183.61702127659575</v>
      </c>
    </row>
    <row r="57" spans="1:9" x14ac:dyDescent="0.25">
      <c r="A57" s="4" t="s">
        <v>23</v>
      </c>
      <c r="B57" s="4">
        <v>23</v>
      </c>
      <c r="C57" s="15">
        <v>0.18240000000000001</v>
      </c>
      <c r="D57" s="4">
        <v>0</v>
      </c>
      <c r="E57" s="4">
        <v>1</v>
      </c>
      <c r="F57" s="16">
        <v>6.2</v>
      </c>
      <c r="G57" s="4">
        <v>954</v>
      </c>
      <c r="H57" s="4">
        <v>1659</v>
      </c>
      <c r="I57" s="17">
        <f t="shared" si="1"/>
        <v>153.87096774193549</v>
      </c>
    </row>
    <row r="58" spans="1:9" x14ac:dyDescent="0.25">
      <c r="A58" s="4" t="s">
        <v>23</v>
      </c>
      <c r="B58" s="4">
        <v>13</v>
      </c>
      <c r="C58" s="15">
        <v>1.78E-2</v>
      </c>
      <c r="D58" s="4">
        <v>0</v>
      </c>
      <c r="E58" s="4">
        <v>1</v>
      </c>
      <c r="F58" s="16">
        <v>14.1</v>
      </c>
      <c r="G58" s="4">
        <v>2919</v>
      </c>
      <c r="H58" s="4">
        <v>12528</v>
      </c>
      <c r="I58" s="17">
        <f t="shared" si="1"/>
        <v>207.02127659574469</v>
      </c>
    </row>
    <row r="59" spans="1:9" x14ac:dyDescent="0.25">
      <c r="A59" s="4" t="s">
        <v>23</v>
      </c>
      <c r="B59" s="4">
        <v>28</v>
      </c>
      <c r="C59" s="15">
        <v>9.0300000000000005E-2</v>
      </c>
      <c r="D59" s="4">
        <v>0</v>
      </c>
      <c r="E59" s="4">
        <v>1</v>
      </c>
      <c r="F59" s="16">
        <v>14.9</v>
      </c>
      <c r="G59" s="4">
        <v>3019</v>
      </c>
      <c r="H59" s="4">
        <v>5369</v>
      </c>
      <c r="I59" s="17">
        <f t="shared" si="1"/>
        <v>202.61744966442953</v>
      </c>
    </row>
    <row r="60" spans="1:9" x14ac:dyDescent="0.25">
      <c r="A60" s="4" t="s">
        <v>23</v>
      </c>
      <c r="B60" s="4">
        <v>19</v>
      </c>
      <c r="C60" s="15">
        <v>0.9486</v>
      </c>
      <c r="D60" s="4">
        <v>0</v>
      </c>
      <c r="E60" s="4">
        <v>1</v>
      </c>
      <c r="F60" s="16">
        <v>1.6</v>
      </c>
      <c r="G60" s="4">
        <v>306</v>
      </c>
      <c r="H60" s="4">
        <v>303</v>
      </c>
      <c r="I60" s="17">
        <f t="shared" si="1"/>
        <v>191.25</v>
      </c>
    </row>
    <row r="61" spans="1:9" x14ac:dyDescent="0.25">
      <c r="A61" s="4" t="s">
        <v>23</v>
      </c>
      <c r="B61" s="4">
        <v>24</v>
      </c>
      <c r="C61" s="15">
        <v>2.86E-2</v>
      </c>
      <c r="D61" s="4">
        <v>0</v>
      </c>
      <c r="E61" s="4">
        <v>1</v>
      </c>
      <c r="F61" s="16">
        <v>14.2</v>
      </c>
      <c r="G61" s="4">
        <v>2813</v>
      </c>
      <c r="H61" s="4">
        <v>7281</v>
      </c>
      <c r="I61" s="17">
        <f t="shared" si="1"/>
        <v>198.09859154929578</v>
      </c>
    </row>
    <row r="62" spans="1:9" x14ac:dyDescent="0.25">
      <c r="A62" s="4" t="s">
        <v>23</v>
      </c>
      <c r="B62" s="4">
        <v>30</v>
      </c>
      <c r="C62" s="15">
        <v>0.12429999999999999</v>
      </c>
      <c r="D62" s="4">
        <v>0</v>
      </c>
      <c r="E62" s="4">
        <v>1</v>
      </c>
      <c r="F62" s="16">
        <v>15</v>
      </c>
      <c r="G62" s="4">
        <v>3058</v>
      </c>
      <c r="H62" s="4">
        <v>787</v>
      </c>
      <c r="I62" s="17">
        <f t="shared" si="1"/>
        <v>203.86666666666667</v>
      </c>
    </row>
    <row r="63" spans="1:9" x14ac:dyDescent="0.25">
      <c r="A63" s="4" t="s">
        <v>23</v>
      </c>
      <c r="B63" s="4">
        <v>20</v>
      </c>
      <c r="C63" s="15">
        <v>9.1399999999999995E-2</v>
      </c>
      <c r="D63" s="4">
        <v>0</v>
      </c>
      <c r="E63" s="4">
        <v>1</v>
      </c>
      <c r="F63" s="16">
        <v>5.4</v>
      </c>
      <c r="G63" s="4">
        <v>598</v>
      </c>
      <c r="H63" s="4">
        <v>477</v>
      </c>
      <c r="I63" s="17">
        <f t="shared" si="1"/>
        <v>110.74074074074073</v>
      </c>
    </row>
    <row r="64" spans="1:9" x14ac:dyDescent="0.25">
      <c r="A64" s="4" t="s">
        <v>23</v>
      </c>
      <c r="B64" s="4">
        <v>4</v>
      </c>
      <c r="C64" s="15">
        <v>0.2162</v>
      </c>
      <c r="D64" s="4">
        <v>0</v>
      </c>
      <c r="E64" s="4">
        <v>1</v>
      </c>
      <c r="F64" s="16">
        <v>6.6</v>
      </c>
      <c r="G64" s="4">
        <v>1013</v>
      </c>
      <c r="H64" s="4">
        <v>1759</v>
      </c>
      <c r="I64" s="17">
        <f t="shared" si="1"/>
        <v>153.4848484848485</v>
      </c>
    </row>
    <row r="65" spans="1:9" x14ac:dyDescent="0.25">
      <c r="A65" s="4" t="s">
        <v>23</v>
      </c>
      <c r="B65" s="4">
        <v>26</v>
      </c>
      <c r="C65" s="15">
        <v>0.15129999999999999</v>
      </c>
      <c r="D65" s="4">
        <v>0</v>
      </c>
      <c r="E65" s="4">
        <v>1</v>
      </c>
      <c r="F65" s="16">
        <v>16.2</v>
      </c>
      <c r="G65" s="4">
        <v>2532</v>
      </c>
      <c r="H65" s="4">
        <v>2062</v>
      </c>
      <c r="I65" s="17">
        <f t="shared" si="1"/>
        <v>156.2962962962963</v>
      </c>
    </row>
    <row r="66" spans="1:9" x14ac:dyDescent="0.25">
      <c r="A66" s="4" t="s">
        <v>23</v>
      </c>
      <c r="B66" s="4">
        <v>22</v>
      </c>
      <c r="C66" s="15">
        <v>4.7600000000000003E-2</v>
      </c>
      <c r="D66" s="4">
        <v>0</v>
      </c>
      <c r="E66" s="4">
        <v>1</v>
      </c>
      <c r="F66" s="16">
        <v>12.5</v>
      </c>
      <c r="G66" s="4">
        <v>2297</v>
      </c>
      <c r="H66" s="4">
        <v>1633</v>
      </c>
      <c r="I66" s="17">
        <f t="shared" ref="I66:I97" si="2">G66/F66</f>
        <v>183.76</v>
      </c>
    </row>
    <row r="67" spans="1:9" x14ac:dyDescent="0.25">
      <c r="A67" s="4" t="s">
        <v>23</v>
      </c>
      <c r="B67" s="4">
        <v>18</v>
      </c>
      <c r="C67" s="15">
        <v>9.7000000000000003E-3</v>
      </c>
      <c r="D67" s="4">
        <v>0</v>
      </c>
      <c r="E67" s="4">
        <v>1</v>
      </c>
      <c r="F67" s="16">
        <v>15.6</v>
      </c>
      <c r="G67" s="4">
        <v>2196</v>
      </c>
      <c r="H67" s="4">
        <v>5415</v>
      </c>
      <c r="I67" s="17">
        <f t="shared" si="2"/>
        <v>140.76923076923077</v>
      </c>
    </row>
    <row r="68" spans="1:9" x14ac:dyDescent="0.25">
      <c r="A68" s="4" t="s">
        <v>23</v>
      </c>
      <c r="B68" s="4">
        <v>33</v>
      </c>
      <c r="C68" s="15">
        <v>4.1000000000000002E-2</v>
      </c>
      <c r="D68" s="4">
        <v>0</v>
      </c>
      <c r="E68" s="4">
        <v>1</v>
      </c>
      <c r="F68" s="16">
        <v>14.2</v>
      </c>
      <c r="G68" s="4">
        <v>2825</v>
      </c>
      <c r="H68" s="4">
        <v>5010</v>
      </c>
      <c r="I68" s="17">
        <f t="shared" si="2"/>
        <v>198.94366197183101</v>
      </c>
    </row>
    <row r="69" spans="1:9" x14ac:dyDescent="0.25">
      <c r="A69" s="4" t="s">
        <v>23</v>
      </c>
      <c r="B69" s="4">
        <v>2</v>
      </c>
      <c r="C69" s="15">
        <v>7.8299999999999995E-2</v>
      </c>
      <c r="D69" s="4">
        <v>0</v>
      </c>
      <c r="E69" s="4">
        <v>1</v>
      </c>
      <c r="F69" s="16">
        <v>15.5</v>
      </c>
      <c r="G69" s="4">
        <v>2718</v>
      </c>
      <c r="H69" s="4">
        <v>1802</v>
      </c>
      <c r="I69" s="17">
        <f t="shared" si="2"/>
        <v>175.35483870967741</v>
      </c>
    </row>
    <row r="70" spans="1:9" x14ac:dyDescent="0.25">
      <c r="A70" s="4" t="s">
        <v>23</v>
      </c>
      <c r="B70" s="4">
        <v>29</v>
      </c>
      <c r="C70" s="15">
        <v>8.9200000000000002E-2</v>
      </c>
      <c r="D70" s="4">
        <v>0</v>
      </c>
      <c r="E70" s="4">
        <v>1</v>
      </c>
      <c r="F70" s="16">
        <v>14.7</v>
      </c>
      <c r="G70" s="4">
        <v>3053</v>
      </c>
      <c r="H70" s="4">
        <v>2429</v>
      </c>
      <c r="I70" s="17">
        <f t="shared" si="2"/>
        <v>207.68707482993199</v>
      </c>
    </row>
    <row r="71" spans="1:9" x14ac:dyDescent="0.25">
      <c r="A71" s="4" t="s">
        <v>23</v>
      </c>
      <c r="B71" s="4">
        <v>35</v>
      </c>
      <c r="C71" s="15">
        <v>0.24840000000000001</v>
      </c>
      <c r="D71" s="4">
        <v>0</v>
      </c>
      <c r="E71" s="4">
        <v>1</v>
      </c>
      <c r="F71" s="16">
        <v>15.9</v>
      </c>
      <c r="G71" s="4">
        <v>2965</v>
      </c>
      <c r="H71" s="4">
        <v>2234</v>
      </c>
      <c r="I71" s="17">
        <f t="shared" si="2"/>
        <v>186.47798742138363</v>
      </c>
    </row>
    <row r="72" spans="1:9" x14ac:dyDescent="0.25">
      <c r="A72" s="4" t="s">
        <v>25</v>
      </c>
      <c r="B72" s="4">
        <v>3</v>
      </c>
      <c r="C72" s="15">
        <v>0.10879999999999999</v>
      </c>
      <c r="D72" s="4">
        <v>0</v>
      </c>
      <c r="E72" s="4">
        <v>1</v>
      </c>
      <c r="F72" s="16">
        <v>12.4</v>
      </c>
      <c r="G72" s="4">
        <v>2042</v>
      </c>
      <c r="H72" s="4">
        <v>523</v>
      </c>
      <c r="I72" s="17">
        <f t="shared" si="2"/>
        <v>164.67741935483872</v>
      </c>
    </row>
    <row r="73" spans="1:9" x14ac:dyDescent="0.25">
      <c r="A73" s="4" t="s">
        <v>25</v>
      </c>
      <c r="B73" s="4">
        <v>25</v>
      </c>
      <c r="C73" s="15">
        <v>3.09E-2</v>
      </c>
      <c r="D73" s="4">
        <v>0</v>
      </c>
      <c r="E73" s="4">
        <v>1</v>
      </c>
      <c r="F73" s="16">
        <v>11.3</v>
      </c>
      <c r="G73" s="4">
        <v>2723</v>
      </c>
      <c r="H73" s="4">
        <v>8996</v>
      </c>
      <c r="I73" s="17">
        <f t="shared" si="2"/>
        <v>240.97345132743362</v>
      </c>
    </row>
    <row r="74" spans="1:9" x14ac:dyDescent="0.25">
      <c r="A74" s="4" t="s">
        <v>25</v>
      </c>
      <c r="B74" s="4">
        <v>9</v>
      </c>
      <c r="C74" s="15">
        <v>3.1600000000000003E-2</v>
      </c>
      <c r="D74" s="4">
        <v>0</v>
      </c>
      <c r="E74" s="4">
        <v>1</v>
      </c>
      <c r="F74" s="16">
        <v>11.3</v>
      </c>
      <c r="G74" s="4">
        <v>2620</v>
      </c>
      <c r="H74" s="4">
        <v>3599</v>
      </c>
      <c r="I74" s="17">
        <f t="shared" si="2"/>
        <v>231.85840707964601</v>
      </c>
    </row>
    <row r="75" spans="1:9" x14ac:dyDescent="0.25">
      <c r="A75" s="4" t="s">
        <v>25</v>
      </c>
      <c r="B75" s="4">
        <v>31</v>
      </c>
      <c r="C75" s="15">
        <v>8.9700000000000002E-2</v>
      </c>
      <c r="D75" s="4">
        <v>0</v>
      </c>
      <c r="E75" s="4">
        <v>1</v>
      </c>
      <c r="F75" s="16">
        <v>13</v>
      </c>
      <c r="G75" s="4">
        <v>2591</v>
      </c>
      <c r="H75" s="4">
        <v>11164</v>
      </c>
      <c r="I75" s="17">
        <f t="shared" si="2"/>
        <v>199.30769230769232</v>
      </c>
    </row>
    <row r="76" spans="1:9" x14ac:dyDescent="0.25">
      <c r="A76" s="4" t="s">
        <v>25</v>
      </c>
      <c r="B76" s="4">
        <v>5</v>
      </c>
      <c r="C76" s="15">
        <v>1.6299999999999999E-2</v>
      </c>
      <c r="D76" s="4">
        <v>0</v>
      </c>
      <c r="E76" s="4">
        <v>1</v>
      </c>
      <c r="F76" s="16">
        <v>11.4</v>
      </c>
      <c r="G76" s="4">
        <v>3090</v>
      </c>
      <c r="H76" s="4">
        <v>9554</v>
      </c>
      <c r="I76" s="17">
        <f t="shared" si="2"/>
        <v>271.05263157894734</v>
      </c>
    </row>
    <row r="77" spans="1:9" x14ac:dyDescent="0.25">
      <c r="A77" s="4" t="s">
        <v>25</v>
      </c>
      <c r="B77" s="4">
        <v>27</v>
      </c>
      <c r="C77" s="15">
        <v>7.6499999999999999E-2</v>
      </c>
      <c r="D77" s="4">
        <v>0</v>
      </c>
      <c r="E77" s="4">
        <v>1</v>
      </c>
      <c r="F77" s="16">
        <v>12</v>
      </c>
      <c r="G77" s="4">
        <v>2620</v>
      </c>
      <c r="H77" s="4">
        <v>4321</v>
      </c>
      <c r="I77" s="17">
        <f t="shared" si="2"/>
        <v>218.33333333333334</v>
      </c>
    </row>
    <row r="78" spans="1:9" x14ac:dyDescent="0.25">
      <c r="A78" s="4" t="s">
        <v>25</v>
      </c>
      <c r="B78" s="4">
        <v>11</v>
      </c>
      <c r="C78" s="15">
        <v>6.1199999999999997E-2</v>
      </c>
      <c r="D78" s="4">
        <v>0</v>
      </c>
      <c r="E78" s="4">
        <v>1</v>
      </c>
      <c r="F78" s="16">
        <v>12</v>
      </c>
      <c r="G78" s="4">
        <v>2648</v>
      </c>
      <c r="H78" s="4">
        <v>3635</v>
      </c>
      <c r="I78" s="17">
        <f t="shared" si="2"/>
        <v>220.66666666666666</v>
      </c>
    </row>
    <row r="79" spans="1:9" x14ac:dyDescent="0.25">
      <c r="A79" s="4" t="s">
        <v>25</v>
      </c>
      <c r="B79" s="4">
        <v>1</v>
      </c>
      <c r="C79" s="15">
        <v>9.9699999999999997E-2</v>
      </c>
      <c r="D79" s="4">
        <v>0</v>
      </c>
      <c r="E79" s="4">
        <v>1</v>
      </c>
      <c r="F79" s="16">
        <v>12.4</v>
      </c>
      <c r="G79" s="4">
        <v>3053</v>
      </c>
      <c r="H79" s="4">
        <v>1435</v>
      </c>
      <c r="I79" s="17">
        <f t="shared" si="2"/>
        <v>246.20967741935482</v>
      </c>
    </row>
    <row r="80" spans="1:9" x14ac:dyDescent="0.25">
      <c r="A80" s="4" t="s">
        <v>25</v>
      </c>
      <c r="B80" s="4">
        <v>16</v>
      </c>
      <c r="C80" s="15">
        <v>3.5400000000000001E-2</v>
      </c>
      <c r="D80" s="4">
        <v>0</v>
      </c>
      <c r="E80" s="4">
        <v>1</v>
      </c>
      <c r="F80" s="16">
        <v>11.5</v>
      </c>
      <c r="G80" s="4">
        <v>2656</v>
      </c>
      <c r="H80" s="4">
        <v>22576</v>
      </c>
      <c r="I80" s="17">
        <f t="shared" si="2"/>
        <v>230.95652173913044</v>
      </c>
    </row>
    <row r="81" spans="1:9" x14ac:dyDescent="0.25">
      <c r="A81" s="4" t="s">
        <v>25</v>
      </c>
      <c r="B81" s="4">
        <v>7</v>
      </c>
      <c r="C81" s="15">
        <v>0.1338</v>
      </c>
      <c r="D81" s="4">
        <v>0</v>
      </c>
      <c r="E81" s="4">
        <v>1</v>
      </c>
      <c r="F81" s="16">
        <v>9</v>
      </c>
      <c r="G81" s="4">
        <v>2005</v>
      </c>
      <c r="H81" s="4">
        <v>3315</v>
      </c>
      <c r="I81" s="17">
        <f t="shared" si="2"/>
        <v>222.77777777777777</v>
      </c>
    </row>
    <row r="82" spans="1:9" x14ac:dyDescent="0.25">
      <c r="A82" s="4" t="s">
        <v>25</v>
      </c>
      <c r="B82" s="4">
        <v>12</v>
      </c>
      <c r="C82" s="15">
        <v>4.07E-2</v>
      </c>
      <c r="D82" s="4">
        <v>0</v>
      </c>
      <c r="E82" s="4">
        <v>1</v>
      </c>
      <c r="F82" s="16">
        <v>11.4</v>
      </c>
      <c r="G82" s="4">
        <v>2967</v>
      </c>
      <c r="H82" s="4">
        <v>1013</v>
      </c>
      <c r="I82" s="17">
        <f t="shared" si="2"/>
        <v>260.26315789473682</v>
      </c>
    </row>
    <row r="83" spans="1:9" x14ac:dyDescent="0.25">
      <c r="A83" s="4" t="s">
        <v>25</v>
      </c>
      <c r="B83" s="4">
        <v>34</v>
      </c>
      <c r="C83" s="15">
        <v>0.16470000000000001</v>
      </c>
      <c r="D83" s="4">
        <v>0</v>
      </c>
      <c r="E83" s="4">
        <v>1</v>
      </c>
      <c r="F83" s="16">
        <v>12.2</v>
      </c>
      <c r="G83" s="4">
        <v>3079</v>
      </c>
      <c r="H83" s="4">
        <v>6449</v>
      </c>
      <c r="I83" s="17">
        <f t="shared" si="2"/>
        <v>252.37704918032787</v>
      </c>
    </row>
    <row r="84" spans="1:9" x14ac:dyDescent="0.25">
      <c r="A84" s="4" t="s">
        <v>25</v>
      </c>
      <c r="B84" s="4">
        <v>8</v>
      </c>
      <c r="C84" s="15">
        <v>0.1096</v>
      </c>
      <c r="D84" s="4">
        <v>0</v>
      </c>
      <c r="E84" s="4">
        <v>1</v>
      </c>
      <c r="F84" s="16">
        <v>3.8</v>
      </c>
      <c r="G84" s="4">
        <v>898</v>
      </c>
      <c r="H84" s="4">
        <v>91</v>
      </c>
      <c r="I84" s="17">
        <f t="shared" si="2"/>
        <v>236.31578947368422</v>
      </c>
    </row>
    <row r="85" spans="1:9" x14ac:dyDescent="0.25">
      <c r="A85" s="4" t="s">
        <v>25</v>
      </c>
      <c r="B85" s="4">
        <v>14</v>
      </c>
      <c r="C85" s="15">
        <v>3.3399999999999999E-2</v>
      </c>
      <c r="D85" s="4">
        <v>0</v>
      </c>
      <c r="E85" s="4">
        <v>1</v>
      </c>
      <c r="F85" s="16">
        <v>11.4</v>
      </c>
      <c r="G85" s="4">
        <v>2914</v>
      </c>
      <c r="H85" s="4">
        <v>14944</v>
      </c>
      <c r="I85" s="17">
        <f t="shared" si="2"/>
        <v>255.61403508771929</v>
      </c>
    </row>
    <row r="86" spans="1:9" x14ac:dyDescent="0.25">
      <c r="A86" s="4" t="s">
        <v>25</v>
      </c>
      <c r="B86" s="4">
        <v>36</v>
      </c>
      <c r="C86" s="15">
        <v>6.7299999999999999E-2</v>
      </c>
      <c r="D86" s="4">
        <v>0</v>
      </c>
      <c r="E86" s="4">
        <v>1</v>
      </c>
      <c r="F86" s="16">
        <v>11.4</v>
      </c>
      <c r="G86" s="4">
        <v>2995</v>
      </c>
      <c r="H86" s="4">
        <v>11422</v>
      </c>
      <c r="I86" s="17">
        <f t="shared" si="2"/>
        <v>262.71929824561403</v>
      </c>
    </row>
    <row r="87" spans="1:9" x14ac:dyDescent="0.25">
      <c r="A87" s="4" t="s">
        <v>25</v>
      </c>
      <c r="B87" s="4">
        <v>10</v>
      </c>
      <c r="C87" s="15">
        <v>7.3800000000000004E-2</v>
      </c>
      <c r="D87" s="4">
        <v>0</v>
      </c>
      <c r="E87" s="4">
        <v>1</v>
      </c>
      <c r="F87" s="16">
        <v>12.5</v>
      </c>
      <c r="G87" s="4">
        <v>2859</v>
      </c>
      <c r="H87" s="4">
        <v>7770</v>
      </c>
      <c r="I87" s="17">
        <f t="shared" si="2"/>
        <v>228.72</v>
      </c>
    </row>
    <row r="88" spans="1:9" x14ac:dyDescent="0.25">
      <c r="A88" s="4" t="s">
        <v>25</v>
      </c>
      <c r="B88" s="4">
        <v>32</v>
      </c>
      <c r="C88" s="15">
        <v>0.22339999999999999</v>
      </c>
      <c r="D88" s="4">
        <v>0</v>
      </c>
      <c r="E88" s="4">
        <v>1</v>
      </c>
      <c r="F88" s="16">
        <v>12.5</v>
      </c>
      <c r="G88" s="4">
        <v>2721</v>
      </c>
      <c r="H88" s="4">
        <v>1101</v>
      </c>
      <c r="I88" s="17">
        <f t="shared" si="2"/>
        <v>217.68</v>
      </c>
    </row>
    <row r="89" spans="1:9" x14ac:dyDescent="0.25">
      <c r="A89" s="4" t="s">
        <v>25</v>
      </c>
      <c r="B89" s="4">
        <v>6</v>
      </c>
      <c r="C89" s="15">
        <v>0.1734</v>
      </c>
      <c r="D89" s="4">
        <v>0</v>
      </c>
      <c r="E89" s="4">
        <v>1</v>
      </c>
      <c r="F89" s="16">
        <v>10</v>
      </c>
      <c r="G89" s="4">
        <v>2193</v>
      </c>
      <c r="H89" s="4">
        <v>3441</v>
      </c>
      <c r="I89" s="17">
        <f t="shared" si="2"/>
        <v>219.3</v>
      </c>
    </row>
    <row r="90" spans="1:9" x14ac:dyDescent="0.25">
      <c r="A90" s="4" t="s">
        <v>25</v>
      </c>
      <c r="B90" s="4">
        <v>21</v>
      </c>
      <c r="C90" s="15">
        <v>0.20119999999999999</v>
      </c>
      <c r="D90" s="4">
        <v>0</v>
      </c>
      <c r="E90" s="4">
        <v>1</v>
      </c>
      <c r="F90" s="16">
        <v>0.9</v>
      </c>
      <c r="G90" s="4">
        <v>63</v>
      </c>
      <c r="H90" s="4">
        <v>443</v>
      </c>
      <c r="I90" s="17">
        <f t="shared" si="2"/>
        <v>70</v>
      </c>
    </row>
    <row r="91" spans="1:9" x14ac:dyDescent="0.25">
      <c r="A91" s="4" t="s">
        <v>25</v>
      </c>
      <c r="B91" s="4">
        <v>17</v>
      </c>
      <c r="C91" s="15">
        <v>7.4999999999999997E-2</v>
      </c>
      <c r="D91" s="4">
        <v>0</v>
      </c>
      <c r="E91" s="4">
        <v>1</v>
      </c>
      <c r="F91" s="16">
        <v>11.4</v>
      </c>
      <c r="G91" s="4">
        <v>2622</v>
      </c>
      <c r="H91" s="4">
        <v>8247</v>
      </c>
      <c r="I91" s="17">
        <f t="shared" si="2"/>
        <v>230</v>
      </c>
    </row>
    <row r="92" spans="1:9" x14ac:dyDescent="0.25">
      <c r="A92" s="4" t="s">
        <v>25</v>
      </c>
      <c r="B92" s="4">
        <v>23</v>
      </c>
      <c r="C92" s="15">
        <v>0.1263</v>
      </c>
      <c r="D92" s="4">
        <v>0</v>
      </c>
      <c r="E92" s="4">
        <v>1</v>
      </c>
      <c r="F92" s="16">
        <v>7.3</v>
      </c>
      <c r="G92" s="4">
        <v>1604</v>
      </c>
      <c r="H92" s="4">
        <v>1659</v>
      </c>
      <c r="I92" s="17">
        <f t="shared" si="2"/>
        <v>219.72602739726028</v>
      </c>
    </row>
    <row r="93" spans="1:9" x14ac:dyDescent="0.25">
      <c r="A93" s="4" t="s">
        <v>25</v>
      </c>
      <c r="B93" s="4">
        <v>13</v>
      </c>
      <c r="C93" s="15">
        <v>2.9499999999999998E-2</v>
      </c>
      <c r="D93" s="4">
        <v>0</v>
      </c>
      <c r="E93" s="4">
        <v>1</v>
      </c>
      <c r="F93" s="16">
        <v>11.5</v>
      </c>
      <c r="G93" s="4">
        <v>2468</v>
      </c>
      <c r="H93" s="4">
        <v>12528</v>
      </c>
      <c r="I93" s="17">
        <f t="shared" si="2"/>
        <v>214.60869565217391</v>
      </c>
    </row>
    <row r="94" spans="1:9" x14ac:dyDescent="0.25">
      <c r="A94" s="4" t="s">
        <v>25</v>
      </c>
      <c r="B94" s="4">
        <v>28</v>
      </c>
      <c r="C94" s="15">
        <v>6.8500000000000005E-2</v>
      </c>
      <c r="D94" s="4">
        <v>0</v>
      </c>
      <c r="E94" s="4">
        <v>1</v>
      </c>
      <c r="F94" s="16">
        <v>12.1</v>
      </c>
      <c r="G94" s="4">
        <v>2897</v>
      </c>
      <c r="H94" s="4">
        <v>5369</v>
      </c>
      <c r="I94" s="17">
        <f t="shared" si="2"/>
        <v>239.42148760330579</v>
      </c>
    </row>
    <row r="95" spans="1:9" x14ac:dyDescent="0.25">
      <c r="A95" s="4" t="s">
        <v>25</v>
      </c>
      <c r="B95" s="4">
        <v>19</v>
      </c>
      <c r="C95" s="15">
        <v>0.6371</v>
      </c>
      <c r="D95" s="4">
        <v>0</v>
      </c>
      <c r="E95" s="4">
        <v>1</v>
      </c>
      <c r="F95" s="16">
        <v>1.7</v>
      </c>
      <c r="G95" s="4">
        <v>425</v>
      </c>
      <c r="H95" s="4">
        <v>303</v>
      </c>
      <c r="I95" s="17">
        <f t="shared" si="2"/>
        <v>250</v>
      </c>
    </row>
    <row r="96" spans="1:9" x14ac:dyDescent="0.25">
      <c r="A96" s="4" t="s">
        <v>25</v>
      </c>
      <c r="B96" s="4">
        <v>24</v>
      </c>
      <c r="C96" s="15">
        <v>4.2700000000000002E-2</v>
      </c>
      <c r="D96" s="4">
        <v>0</v>
      </c>
      <c r="E96" s="4">
        <v>1</v>
      </c>
      <c r="F96" s="16">
        <v>11.3</v>
      </c>
      <c r="G96" s="4">
        <v>2681</v>
      </c>
      <c r="H96" s="4">
        <v>7281</v>
      </c>
      <c r="I96" s="17">
        <f t="shared" si="2"/>
        <v>237.25663716814157</v>
      </c>
    </row>
    <row r="97" spans="1:9" x14ac:dyDescent="0.25">
      <c r="A97" s="4" t="s">
        <v>25</v>
      </c>
      <c r="B97" s="4">
        <v>30</v>
      </c>
      <c r="C97" s="15">
        <v>0.20250000000000001</v>
      </c>
      <c r="D97" s="4">
        <v>0</v>
      </c>
      <c r="E97" s="4">
        <v>1</v>
      </c>
      <c r="F97" s="16">
        <v>7.8</v>
      </c>
      <c r="G97" s="4">
        <v>1781</v>
      </c>
      <c r="H97" s="4">
        <v>787</v>
      </c>
      <c r="I97" s="17">
        <f t="shared" si="2"/>
        <v>228.33333333333334</v>
      </c>
    </row>
    <row r="98" spans="1:9" x14ac:dyDescent="0.25">
      <c r="A98" s="4" t="s">
        <v>25</v>
      </c>
      <c r="B98" s="4">
        <v>20</v>
      </c>
      <c r="C98" s="15">
        <v>0.12970000000000001</v>
      </c>
      <c r="D98" s="4">
        <v>0</v>
      </c>
      <c r="E98" s="4">
        <v>1</v>
      </c>
      <c r="F98" s="16">
        <v>1.7</v>
      </c>
      <c r="G98" s="4">
        <v>327</v>
      </c>
      <c r="H98" s="4">
        <v>477</v>
      </c>
      <c r="I98" s="17">
        <f t="shared" ref="I98:I106" si="3">G98/F98</f>
        <v>192.35294117647058</v>
      </c>
    </row>
    <row r="99" spans="1:9" x14ac:dyDescent="0.25">
      <c r="A99" s="4" t="s">
        <v>25</v>
      </c>
      <c r="B99" s="4">
        <v>4</v>
      </c>
      <c r="C99" s="15">
        <v>0.1144</v>
      </c>
      <c r="D99" s="4">
        <v>0</v>
      </c>
      <c r="E99" s="4">
        <v>1</v>
      </c>
      <c r="F99" s="16">
        <v>5.6</v>
      </c>
      <c r="G99" s="4">
        <v>1255</v>
      </c>
      <c r="H99" s="4">
        <v>1759</v>
      </c>
      <c r="I99" s="17">
        <f t="shared" si="3"/>
        <v>224.10714285714286</v>
      </c>
    </row>
    <row r="100" spans="1:9" x14ac:dyDescent="0.25">
      <c r="A100" s="4" t="s">
        <v>25</v>
      </c>
      <c r="B100" s="4">
        <v>26</v>
      </c>
      <c r="C100" s="15">
        <v>0.15670000000000001</v>
      </c>
      <c r="D100" s="4">
        <v>0</v>
      </c>
      <c r="E100" s="4">
        <v>1</v>
      </c>
      <c r="F100" s="16">
        <v>11.4</v>
      </c>
      <c r="G100" s="4">
        <v>2383</v>
      </c>
      <c r="H100" s="4">
        <v>2062</v>
      </c>
      <c r="I100" s="17">
        <f t="shared" si="3"/>
        <v>209.03508771929825</v>
      </c>
    </row>
    <row r="101" spans="1:9" x14ac:dyDescent="0.25">
      <c r="A101" s="4" t="s">
        <v>25</v>
      </c>
      <c r="B101" s="4">
        <v>22</v>
      </c>
      <c r="C101" s="15">
        <v>0.20050000000000001</v>
      </c>
      <c r="D101" s="4">
        <v>0</v>
      </c>
      <c r="E101" s="4">
        <v>1</v>
      </c>
      <c r="F101" s="16">
        <v>9.6</v>
      </c>
      <c r="G101" s="4">
        <v>2202</v>
      </c>
      <c r="H101" s="4">
        <v>1633</v>
      </c>
      <c r="I101" s="17">
        <f t="shared" si="3"/>
        <v>229.375</v>
      </c>
    </row>
    <row r="102" spans="1:9" x14ac:dyDescent="0.25">
      <c r="A102" s="4" t="s">
        <v>25</v>
      </c>
      <c r="B102" s="4">
        <v>18</v>
      </c>
      <c r="C102" s="15">
        <v>1.2E-2</v>
      </c>
      <c r="D102" s="4">
        <v>0</v>
      </c>
      <c r="E102" s="4">
        <v>1</v>
      </c>
      <c r="F102" s="16">
        <v>12.6</v>
      </c>
      <c r="G102" s="4">
        <v>2570</v>
      </c>
      <c r="H102" s="4">
        <v>5415</v>
      </c>
      <c r="I102" s="17">
        <f t="shared" si="3"/>
        <v>203.96825396825398</v>
      </c>
    </row>
    <row r="103" spans="1:9" x14ac:dyDescent="0.25">
      <c r="A103" s="4" t="s">
        <v>25</v>
      </c>
      <c r="B103" s="4">
        <v>33</v>
      </c>
      <c r="C103" s="15">
        <v>2.3199999999999998E-2</v>
      </c>
      <c r="D103" s="4">
        <v>0</v>
      </c>
      <c r="E103" s="4">
        <v>1</v>
      </c>
      <c r="F103" s="16">
        <v>11.3</v>
      </c>
      <c r="G103" s="4">
        <v>2595</v>
      </c>
      <c r="H103" s="4">
        <v>5010</v>
      </c>
      <c r="I103" s="17">
        <f t="shared" si="3"/>
        <v>229.64601769911502</v>
      </c>
    </row>
    <row r="104" spans="1:9" x14ac:dyDescent="0.25">
      <c r="A104" s="4" t="s">
        <v>25</v>
      </c>
      <c r="B104" s="4">
        <v>2</v>
      </c>
      <c r="C104" s="15">
        <v>2.53E-2</v>
      </c>
      <c r="D104" s="4">
        <v>0</v>
      </c>
      <c r="E104" s="4">
        <v>1</v>
      </c>
      <c r="F104" s="16">
        <v>12.5</v>
      </c>
      <c r="G104" s="4">
        <v>2808</v>
      </c>
      <c r="H104" s="4">
        <v>1802</v>
      </c>
      <c r="I104" s="17">
        <f t="shared" si="3"/>
        <v>224.64</v>
      </c>
    </row>
    <row r="105" spans="1:9" x14ac:dyDescent="0.25">
      <c r="A105" s="4" t="s">
        <v>25</v>
      </c>
      <c r="B105" s="4">
        <v>29</v>
      </c>
      <c r="C105" s="15">
        <v>4.58E-2</v>
      </c>
      <c r="D105" s="4">
        <v>0</v>
      </c>
      <c r="E105" s="4">
        <v>1</v>
      </c>
      <c r="F105" s="16">
        <v>11.9</v>
      </c>
      <c r="G105" s="4">
        <v>2933</v>
      </c>
      <c r="H105" s="4">
        <v>2429</v>
      </c>
      <c r="I105" s="17">
        <f t="shared" si="3"/>
        <v>246.47058823529412</v>
      </c>
    </row>
    <row r="106" spans="1:9" x14ac:dyDescent="0.25">
      <c r="A106" s="4" t="s">
        <v>25</v>
      </c>
      <c r="B106" s="4">
        <v>35</v>
      </c>
      <c r="C106" s="15">
        <v>0.2074</v>
      </c>
      <c r="D106" s="4">
        <v>0</v>
      </c>
      <c r="E106" s="4">
        <v>1</v>
      </c>
      <c r="F106" s="16">
        <v>12.8</v>
      </c>
      <c r="G106" s="4">
        <v>2966</v>
      </c>
      <c r="H106" s="4">
        <v>2234</v>
      </c>
      <c r="I106" s="17">
        <f t="shared" si="3"/>
        <v>231.71875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9"/>
  <sheetViews>
    <sheetView showGridLines="0" workbookViewId="0"/>
  </sheetViews>
  <sheetFormatPr defaultRowHeight="15" x14ac:dyDescent="0.25"/>
  <cols>
    <col min="1" max="1" width="2" customWidth="1"/>
    <col min="2" max="2" width="16" customWidth="1"/>
    <col min="3" max="3" width="95" customWidth="1"/>
  </cols>
  <sheetData>
    <row r="2" spans="2:3" ht="18" x14ac:dyDescent="0.25">
      <c r="B2" s="1" t="s">
        <v>43</v>
      </c>
    </row>
    <row r="4" spans="2:3" x14ac:dyDescent="0.25">
      <c r="B4" s="5" t="s">
        <v>44</v>
      </c>
    </row>
    <row r="5" spans="2:3" ht="27.95" customHeight="1" x14ac:dyDescent="0.25">
      <c r="B5" s="3" t="s">
        <v>45</v>
      </c>
      <c r="C5" s="13" t="s">
        <v>46</v>
      </c>
    </row>
    <row r="6" spans="2:3" ht="27.95" customHeight="1" x14ac:dyDescent="0.25">
      <c r="B6" s="3" t="s">
        <v>47</v>
      </c>
      <c r="C6" s="13" t="s">
        <v>48</v>
      </c>
    </row>
    <row r="7" spans="2:3" ht="27.95" customHeight="1" x14ac:dyDescent="0.25">
      <c r="B7" s="3" t="s">
        <v>49</v>
      </c>
      <c r="C7" s="13" t="s">
        <v>50</v>
      </c>
    </row>
    <row r="8" spans="2:3" x14ac:dyDescent="0.25">
      <c r="B8" s="5" t="s">
        <v>51</v>
      </c>
    </row>
    <row r="9" spans="2:3" ht="27.95" customHeight="1" x14ac:dyDescent="0.25">
      <c r="B9" s="3" t="s">
        <v>52</v>
      </c>
      <c r="C9" s="13" t="s">
        <v>53</v>
      </c>
    </row>
    <row r="10" spans="2:3" ht="27.95" customHeight="1" x14ac:dyDescent="0.25">
      <c r="B10" s="3" t="s">
        <v>54</v>
      </c>
      <c r="C10" s="13" t="s">
        <v>55</v>
      </c>
    </row>
    <row r="11" spans="2:3" ht="27.95" customHeight="1" x14ac:dyDescent="0.25">
      <c r="B11" s="3" t="s">
        <v>6</v>
      </c>
      <c r="C11" s="13" t="s">
        <v>56</v>
      </c>
    </row>
    <row r="12" spans="2:3" x14ac:dyDescent="0.25">
      <c r="B12" s="5" t="s">
        <v>57</v>
      </c>
    </row>
    <row r="13" spans="2:3" ht="27.95" customHeight="1" x14ac:dyDescent="0.25">
      <c r="B13" s="3" t="s">
        <v>36</v>
      </c>
      <c r="C13" s="13" t="s">
        <v>58</v>
      </c>
    </row>
    <row r="14" spans="2:3" ht="27.95" customHeight="1" x14ac:dyDescent="0.25">
      <c r="B14" s="3" t="s">
        <v>37</v>
      </c>
      <c r="C14" s="13" t="s">
        <v>59</v>
      </c>
    </row>
    <row r="15" spans="2:3" ht="27.95" customHeight="1" x14ac:dyDescent="0.25">
      <c r="B15" s="3" t="s">
        <v>38</v>
      </c>
      <c r="C15" s="13" t="s">
        <v>60</v>
      </c>
    </row>
    <row r="16" spans="2:3" ht="27.95" customHeight="1" x14ac:dyDescent="0.25">
      <c r="B16" s="3" t="s">
        <v>39</v>
      </c>
      <c r="C16" s="13" t="s">
        <v>61</v>
      </c>
    </row>
    <row r="17" spans="2:3" x14ac:dyDescent="0.25">
      <c r="B17" s="5" t="s">
        <v>62</v>
      </c>
    </row>
    <row r="18" spans="2:3" ht="27.95" customHeight="1" x14ac:dyDescent="0.25">
      <c r="B18" s="3" t="s">
        <v>63</v>
      </c>
      <c r="C18" s="13" t="s">
        <v>64</v>
      </c>
    </row>
    <row r="19" spans="2:3" ht="27.95" customHeight="1" x14ac:dyDescent="0.25">
      <c r="B19" s="3" t="s">
        <v>65</v>
      </c>
      <c r="C19" s="13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Per-task results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Jarrett Yount</cp:lastModifiedBy>
  <dcterms:created xsi:type="dcterms:W3CDTF">2026-08-15T12:17:06Z</dcterms:created>
  <dcterms:modified xsi:type="dcterms:W3CDTF">2026-08-15T12:17:19Z</dcterms:modified>
</cp:coreProperties>
</file>